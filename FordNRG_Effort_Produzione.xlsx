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ne-Time Lan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\h"/>
    <numFmt numFmtId="165" formatCode="0.0\h"/>
    <numFmt numFmtId="166" formatCode="#,##0.00&quot; €&quot;"/>
  </numFmts>
  <fonts count="1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rgb="FFFFFFFF"/>
      <scheme val="minor"/>
    </font>
    <font>
      <name val="Arial"/>
      <b val="1"/>
      <color rgb="FFFFFFFF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i val="1"/>
      <color rgb="FF7F8C8D"/>
      <sz val="9"/>
    </font>
    <font>
      <name val="Arial"/>
      <b val="1"/>
      <color theme="1"/>
      <sz val="11"/>
    </font>
    <font>
      <name val="Calibri"/>
      <color theme="1"/>
      <sz val="11"/>
    </font>
  </fonts>
  <fills count="8">
    <fill>
      <patternFill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E86C1"/>
        <bgColor rgb="FF2E86C1"/>
      </patternFill>
    </fill>
    <fill>
      <patternFill patternType="solid">
        <fgColor rgb="FFD4E6F1"/>
        <bgColor rgb="FFD4E6F1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9C4"/>
        <bgColor rgb="FFFFF9C4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</border>
    <border>
      <left style="thin">
        <color rgb="FFBDC3C7"/>
      </left>
      <right style="thin">
        <color rgb="FFBDC3C7"/>
      </right>
      <bottom style="thin">
        <color rgb="FFBDC3C7"/>
      </bottom>
    </border>
    <border>
      <left/>
      <right/>
      <top/>
      <bottom/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vertical="bottom"/>
    </xf>
    <xf numFmtId="0" fontId="5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vertical="center" wrapText="1"/>
    </xf>
    <xf numFmtId="0" fontId="6" fillId="5" borderId="4" applyAlignment="1" pivotButton="0" quotePrefix="0" xfId="0">
      <alignment vertical="center" wrapText="1"/>
    </xf>
    <xf numFmtId="164" fontId="6" fillId="5" borderId="4" applyAlignment="1" pivotButton="0" quotePrefix="0" xfId="0">
      <alignment vertical="center" wrapText="1"/>
    </xf>
    <xf numFmtId="165" fontId="6" fillId="5" borderId="4" applyAlignment="1" pivotButton="0" quotePrefix="0" xfId="0">
      <alignment vertical="center" wrapText="1"/>
    </xf>
    <xf numFmtId="166" fontId="6" fillId="5" borderId="4" applyAlignment="1" pivotButton="0" quotePrefix="0" xfId="0">
      <alignment vertical="center" wrapText="1"/>
    </xf>
    <xf numFmtId="0" fontId="7" fillId="5" borderId="4" applyAlignment="1" pivotButton="0" quotePrefix="0" xfId="0">
      <alignment vertical="center" wrapText="1"/>
    </xf>
    <xf numFmtId="0" fontId="5" fillId="6" borderId="4" applyAlignment="1" pivotButton="0" quotePrefix="0" xfId="0">
      <alignment vertical="center" wrapText="1"/>
    </xf>
    <xf numFmtId="0" fontId="6" fillId="6" borderId="4" applyAlignment="1" pivotButton="0" quotePrefix="0" xfId="0">
      <alignment vertical="center" wrapText="1"/>
    </xf>
    <xf numFmtId="164" fontId="6" fillId="6" borderId="4" applyAlignment="1" pivotButton="0" quotePrefix="0" xfId="0">
      <alignment vertical="center" wrapText="1"/>
    </xf>
    <xf numFmtId="165" fontId="6" fillId="6" borderId="4" applyAlignment="1" pivotButton="0" quotePrefix="0" xfId="0">
      <alignment vertical="center" wrapText="1"/>
    </xf>
    <xf numFmtId="166" fontId="6" fillId="6" borderId="4" applyAlignment="1" pivotButton="0" quotePrefix="0" xfId="0">
      <alignment vertical="center" wrapText="1"/>
    </xf>
    <xf numFmtId="0" fontId="7" fillId="6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164" fontId="6" fillId="5" borderId="5" applyAlignment="1" pivotButton="0" quotePrefix="0" xfId="0">
      <alignment vertical="center" wrapText="1"/>
    </xf>
    <xf numFmtId="166" fontId="6" fillId="0" borderId="4" applyAlignment="1" pivotButton="0" quotePrefix="0" xfId="0">
      <alignment vertical="center" wrapText="1"/>
    </xf>
    <xf numFmtId="0" fontId="4" fillId="3" borderId="2" applyAlignment="1" pivotButton="0" quotePrefix="0" xfId="0">
      <alignment vertical="bottom"/>
    </xf>
    <xf numFmtId="0" fontId="4" fillId="3" borderId="3" applyAlignment="1" pivotButton="0" quotePrefix="0" xfId="0">
      <alignment vertical="bottom"/>
    </xf>
    <xf numFmtId="0" fontId="5" fillId="4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164" fontId="6" fillId="0" borderId="6" applyAlignment="1" pivotButton="0" quotePrefix="0" xfId="0">
      <alignment vertical="center" wrapText="1"/>
    </xf>
    <xf numFmtId="166" fontId="6" fillId="0" borderId="4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64" fontId="6" fillId="6" borderId="4" applyAlignment="1" pivotButton="0" quotePrefix="0" xfId="0">
      <alignment vertical="center" wrapText="1"/>
    </xf>
    <xf numFmtId="166" fontId="6" fillId="6" borderId="4" applyAlignment="1" pivotButton="0" quotePrefix="0" xfId="0">
      <alignment vertical="center" wrapText="1"/>
    </xf>
    <xf numFmtId="0" fontId="7" fillId="6" borderId="4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164" fontId="6" fillId="0" borderId="4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166" fontId="6" fillId="5" borderId="4" applyAlignment="1" pivotButton="0" quotePrefix="0" xfId="0">
      <alignment vertical="center" wrapText="1"/>
    </xf>
    <xf numFmtId="0" fontId="7" fillId="5" borderId="4" applyAlignment="1" pivotButton="0" quotePrefix="0" xfId="0">
      <alignment vertical="center" wrapText="1"/>
    </xf>
    <xf numFmtId="0" fontId="6" fillId="6" borderId="4" applyAlignment="1" pivotButton="0" quotePrefix="0" xfId="0">
      <alignment vertical="center" wrapText="1"/>
    </xf>
    <xf numFmtId="0" fontId="6" fillId="5" borderId="5" applyAlignment="1" pivotButton="0" quotePrefix="0" xfId="0">
      <alignment vertical="center" wrapText="1"/>
    </xf>
    <xf numFmtId="0" fontId="7" fillId="5" borderId="5" applyAlignment="1" pivotButton="0" quotePrefix="0" xfId="0">
      <alignment vertical="center" wrapText="1"/>
    </xf>
    <xf numFmtId="0" fontId="6" fillId="5" borderId="4" applyAlignment="1" pivotButton="0" quotePrefix="0" xfId="0">
      <alignment vertical="center" wrapText="1"/>
    </xf>
    <xf numFmtId="164" fontId="6" fillId="5" borderId="4" applyAlignment="1" pivotButton="0" quotePrefix="0" xfId="0">
      <alignment vertical="center" wrapText="1"/>
    </xf>
    <xf numFmtId="0" fontId="8" fillId="7" borderId="4" applyAlignment="1" pivotButton="0" quotePrefix="0" xfId="0">
      <alignment vertical="bottom"/>
    </xf>
    <xf numFmtId="0" fontId="9" fillId="7" borderId="4" applyAlignment="1" pivotButton="0" quotePrefix="0" xfId="0">
      <alignment vertical="bottom"/>
    </xf>
    <xf numFmtId="164" fontId="8" fillId="7" borderId="4" applyAlignment="1" pivotButton="0" quotePrefix="0" xfId="0">
      <alignment vertical="bottom"/>
    </xf>
    <xf numFmtId="166" fontId="8" fillId="7" borderId="4" applyAlignment="1" pivotButton="0" quotePrefix="0" xfId="0">
      <alignment vertical="bottom"/>
    </xf>
    <xf numFmtId="0" fontId="0" fillId="0" borderId="0" pivotButton="0" quotePrefix="0" xfId="0"/>
    <xf numFmtId="0" fontId="1" fillId="2" borderId="7" applyAlignment="1" pivotButton="0" quotePrefix="0" xfId="0">
      <alignment vertical="bottom"/>
    </xf>
    <xf numFmtId="0" fontId="4" fillId="3" borderId="7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tc={050f6374-6b9d-45b4-9c8f-9517295277c4}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 inserirei direttamente in visual statici visual + story e quella cifra la ingoblerei direttamente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2E86C1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ColWidth="14.43" defaultRowHeight="15" customHeight="1"/>
  <cols>
    <col width="38" customWidth="1" style="49" min="1" max="1"/>
    <col width="52" customWidth="1" style="49" min="2" max="2"/>
    <col width="12" customWidth="1" style="49" min="3" max="4"/>
    <col width="13" customWidth="1" style="49" min="5" max="5"/>
    <col width="18" customWidth="1" style="49" min="6" max="6"/>
    <col width="19.57" customWidth="1" style="49" min="7" max="7"/>
    <col width="19.86" customWidth="1" style="49" min="8" max="8"/>
    <col width="27" customWidth="1" style="49" min="9" max="9"/>
    <col width="8.710000000000001" customWidth="1" style="49" min="10" max="28"/>
  </cols>
  <sheetData>
    <row r="1" ht="34.5" customHeight="1" s="49">
      <c r="A1" s="50" t="inlineStr">
        <is>
          <t>FORD NRG B2B — Effort Produzione Campagna Lancio</t>
        </is>
      </c>
    </row>
    <row r="2">
      <c r="A2" s="4" t="n">
        <v>45</v>
      </c>
    </row>
    <row r="3" ht="27.75" customHeight="1" s="49">
      <c r="A3" s="51" t="inlineStr">
        <is>
          <t>STRATEGIA E PLANNING</t>
        </is>
      </c>
    </row>
    <row r="4">
      <c r="A4" s="7" t="inlineStr">
        <is>
          <t>Attività</t>
        </is>
      </c>
      <c r="B4" s="7" t="inlineStr">
        <is>
          <t>Dettaglio</t>
        </is>
      </c>
      <c r="C4" s="7" t="inlineStr">
        <is>
          <t>Ore Min</t>
        </is>
      </c>
      <c r="D4" s="7" t="inlineStr">
        <is>
          <t>Ore Max</t>
        </is>
      </c>
      <c r="E4" s="7" t="inlineStr">
        <is>
          <t>Ore Media</t>
        </is>
      </c>
      <c r="F4" s="7" t="inlineStr">
        <is>
          <t xml:space="preserve">Investimento Stimato MIn </t>
        </is>
      </c>
      <c r="G4" s="7" t="inlineStr">
        <is>
          <t xml:space="preserve">Investimento Stimato Max </t>
        </is>
      </c>
      <c r="H4" s="7" t="inlineStr">
        <is>
          <t xml:space="preserve">Investimento Stimato Med </t>
        </is>
      </c>
      <c r="I4" s="7" t="inlineStr">
        <is>
          <t>Note</t>
        </is>
      </c>
    </row>
    <row r="5" ht="27.75" customHeight="1" s="49">
      <c r="A5" s="8" t="inlineStr">
        <is>
          <t>Piano di lancio</t>
        </is>
      </c>
      <c r="B5" s="43" t="inlineStr">
        <is>
          <t xml:space="preserve">Già completato ✓ </t>
        </is>
      </c>
      <c r="C5" s="44" t="n">
        <v>10</v>
      </c>
      <c r="D5" s="44" t="n">
        <v>10</v>
      </c>
      <c r="E5" s="11">
        <f>(C5+D5)/2</f>
        <v/>
      </c>
      <c r="F5" s="38" t="n">
        <v>0</v>
      </c>
      <c r="G5" s="38" t="n">
        <v>0</v>
      </c>
      <c r="H5" s="38" t="n">
        <v>0</v>
      </c>
      <c r="I5" s="39" t="inlineStr">
        <is>
          <t>Già fatto, Omaggiato.</t>
        </is>
      </c>
    </row>
    <row r="6" ht="27.75" customHeight="1" s="49">
      <c r="A6" s="14" t="inlineStr">
        <is>
          <t>Documento targeting</t>
        </is>
      </c>
      <c r="B6" s="40" t="inlineStr">
        <is>
          <t xml:space="preserve">Già completato ✓ </t>
        </is>
      </c>
      <c r="C6" s="31" t="n">
        <v>2</v>
      </c>
      <c r="D6" s="31" t="n">
        <v>4</v>
      </c>
      <c r="E6" s="17">
        <f>(C6+D6)/2</f>
        <v/>
      </c>
      <c r="F6" s="32" t="n">
        <v>0</v>
      </c>
      <c r="G6" s="32" t="n">
        <v>0</v>
      </c>
      <c r="H6" s="32" t="n">
        <v>0</v>
      </c>
      <c r="I6" s="33" t="inlineStr">
        <is>
          <t>Già fatto, Omaggiato.</t>
        </is>
      </c>
    </row>
    <row r="7" ht="27.75" customHeight="1" s="49">
      <c r="A7" s="20" t="inlineStr">
        <is>
          <t>Brief creativo</t>
        </is>
      </c>
      <c r="B7" s="43" t="inlineStr">
        <is>
          <t xml:space="preserve">Già completato ✓ </t>
        </is>
      </c>
      <c r="C7" s="21" t="n">
        <v>2</v>
      </c>
      <c r="D7" s="21" t="n">
        <v>4</v>
      </c>
      <c r="E7" s="11">
        <f>(C7+D7)/2</f>
        <v/>
      </c>
      <c r="F7" s="29" t="n">
        <v>0</v>
      </c>
      <c r="G7" s="38" t="n">
        <v>0</v>
      </c>
      <c r="H7" s="38" t="n">
        <v>0</v>
      </c>
      <c r="I7" s="39" t="inlineStr">
        <is>
          <t>Già fatto, Omaggiato.</t>
        </is>
      </c>
    </row>
    <row r="8" ht="27.75" customHeight="1" s="49">
      <c r="A8" s="5" t="inlineStr">
        <is>
          <t>ASSET PUBBLICITARI — META ADS</t>
        </is>
      </c>
      <c r="B8" s="23" t="n"/>
      <c r="C8" s="23" t="n"/>
      <c r="D8" s="23" t="n"/>
      <c r="E8" s="23" t="n"/>
      <c r="F8" s="23" t="n"/>
      <c r="G8" s="23" t="n"/>
      <c r="H8" s="23" t="n"/>
      <c r="I8" s="24" t="n"/>
    </row>
    <row r="9">
      <c r="A9" s="25" t="inlineStr">
        <is>
          <t>Attività</t>
        </is>
      </c>
      <c r="B9" s="25" t="inlineStr">
        <is>
          <t>Dettaglio</t>
        </is>
      </c>
      <c r="C9" s="25" t="inlineStr">
        <is>
          <t>Ore Min</t>
        </is>
      </c>
      <c r="D9" s="25" t="inlineStr">
        <is>
          <t>Ore Max</t>
        </is>
      </c>
      <c r="E9" s="25" t="inlineStr">
        <is>
          <t>Ore Media</t>
        </is>
      </c>
      <c r="F9" s="7" t="inlineStr">
        <is>
          <t xml:space="preserve">Investimento Stimato MIn </t>
        </is>
      </c>
      <c r="G9" s="7" t="inlineStr">
        <is>
          <t xml:space="preserve">Investimento Stimato Max </t>
        </is>
      </c>
      <c r="H9" s="7" t="inlineStr">
        <is>
          <t xml:space="preserve">Investimento Stimato Med </t>
        </is>
      </c>
      <c r="I9" s="25" t="inlineStr">
        <is>
          <t>Note</t>
        </is>
      </c>
    </row>
    <row r="10" ht="27.75" customHeight="1" s="49">
      <c r="A10" s="26" t="inlineStr">
        <is>
          <t>Idea di campagna per declinazione Digital + OOH</t>
        </is>
      </c>
      <c r="B10" s="27" t="inlineStr">
        <is>
          <t xml:space="preserve">2 idee di campagna </t>
        </is>
      </c>
      <c r="C10" s="28" t="n">
        <v>8</v>
      </c>
      <c r="D10" s="28" t="n">
        <v>14</v>
      </c>
      <c r="E10" s="11">
        <f>(C10+D10)/2</f>
        <v/>
      </c>
      <c r="F10" s="29">
        <f>C10*A2</f>
        <v/>
      </c>
      <c r="G10" s="29">
        <f>D10*A2</f>
        <v/>
      </c>
      <c r="H10" s="29">
        <f>E10*A2</f>
        <v/>
      </c>
      <c r="I10" s="30" t="n"/>
    </row>
    <row r="11" ht="27.75" customHeight="1" s="49">
      <c r="A11" s="14" t="inlineStr">
        <is>
          <t>Copy varianti</t>
        </is>
      </c>
      <c r="B11" s="40" t="inlineStr">
        <is>
          <t>4 copy per adset × 3 adset = ~12 copy</t>
        </is>
      </c>
      <c r="C11" s="31" t="n">
        <v>8</v>
      </c>
      <c r="D11" s="31" t="n">
        <v>10</v>
      </c>
      <c r="E11" s="17">
        <f>(C11+D11)/2</f>
        <v/>
      </c>
      <c r="F11" s="32">
        <f>C11*A2</f>
        <v/>
      </c>
      <c r="G11" s="32">
        <f>D11*A2</f>
        <v/>
      </c>
      <c r="H11" s="32">
        <f>E11*A2</f>
        <v/>
      </c>
      <c r="I11" s="33" t="n"/>
    </row>
    <row r="12" ht="27.75" customHeight="1" s="49">
      <c r="A12" s="34" t="inlineStr">
        <is>
          <t>Visual statici + stories + OOH</t>
        </is>
      </c>
      <c r="B12" s="35" t="inlineStr">
        <is>
          <t>4 visual per adset × 3 adset = ~12 copy</t>
        </is>
      </c>
      <c r="C12" s="36" t="n">
        <v>14</v>
      </c>
      <c r="D12" s="36" t="n">
        <v>18</v>
      </c>
      <c r="E12" s="11">
        <f>(C12+D12)/2</f>
        <v/>
      </c>
      <c r="F12" s="29">
        <f>C12*A2</f>
        <v/>
      </c>
      <c r="G12" s="29">
        <f>D12*A2</f>
        <v/>
      </c>
      <c r="H12" s="29">
        <f>E12*A2</f>
        <v/>
      </c>
      <c r="I12" s="37" t="n"/>
    </row>
    <row r="13" ht="27.75" customHeight="1" s="49">
      <c r="A13" s="14" t="inlineStr">
        <is>
          <t>Reel / Video Ads</t>
        </is>
      </c>
      <c r="B13" s="40" t="inlineStr">
        <is>
          <t>3 video ads 15-30 sec</t>
        </is>
      </c>
      <c r="C13" s="31" t="n">
        <v>15</v>
      </c>
      <c r="D13" s="31" t="n">
        <v>20</v>
      </c>
      <c r="E13" s="17">
        <f>(C13+D13)/2</f>
        <v/>
      </c>
      <c r="F13" s="32">
        <f>C13*A2</f>
        <v/>
      </c>
      <c r="G13" s="32">
        <f>D13*A2</f>
        <v/>
      </c>
      <c r="H13" s="32">
        <f>E13*A2</f>
        <v/>
      </c>
      <c r="I13" s="33" t="inlineStr">
        <is>
          <t>Formato più performante B2B</t>
        </is>
      </c>
    </row>
    <row r="14" ht="27.75" customHeight="1" s="49">
      <c r="A14" s="5" t="inlineStr">
        <is>
          <t>ASSET PUBBLICITARI — GOOGLE ADS</t>
        </is>
      </c>
      <c r="B14" s="23" t="n"/>
      <c r="C14" s="23" t="n"/>
      <c r="D14" s="23" t="n"/>
      <c r="E14" s="23" t="n"/>
      <c r="F14" s="23" t="n"/>
      <c r="G14" s="23" t="n"/>
      <c r="H14" s="23" t="n"/>
      <c r="I14" s="24" t="n"/>
    </row>
    <row r="15">
      <c r="A15" s="25" t="inlineStr">
        <is>
          <t>Attività</t>
        </is>
      </c>
      <c r="B15" s="25" t="inlineStr">
        <is>
          <t>Dettaglio</t>
        </is>
      </c>
      <c r="C15" s="25" t="inlineStr">
        <is>
          <t>Ore Min</t>
        </is>
      </c>
      <c r="D15" s="25" t="inlineStr">
        <is>
          <t>Ore Max</t>
        </is>
      </c>
      <c r="E15" s="25" t="inlineStr">
        <is>
          <t>Ore Media</t>
        </is>
      </c>
      <c r="F15" s="7" t="inlineStr">
        <is>
          <t xml:space="preserve">Investimento Stimato MIn </t>
        </is>
      </c>
      <c r="G15" s="7" t="inlineStr">
        <is>
          <t xml:space="preserve">Investimento Stimato Max </t>
        </is>
      </c>
      <c r="H15" s="7" t="inlineStr">
        <is>
          <t xml:space="preserve">Investimento Stimato Med </t>
        </is>
      </c>
      <c r="I15" s="25" t="inlineStr">
        <is>
          <t>Note</t>
        </is>
      </c>
    </row>
    <row r="16" ht="27.75" customHeight="1" s="49">
      <c r="A16" s="8" t="inlineStr">
        <is>
          <t>Campagna Search</t>
        </is>
      </c>
      <c r="B16" s="43" t="inlineStr">
        <is>
          <t>2 gruppi annunci, 6-8 keyword cluster</t>
        </is>
      </c>
      <c r="C16" s="44" t="n">
        <v>16</v>
      </c>
      <c r="D16" s="44" t="n">
        <v>24</v>
      </c>
      <c r="E16" s="11">
        <f>(C16+D16)/2</f>
        <v/>
      </c>
      <c r="F16" s="29">
        <f>C16*A2</f>
        <v/>
      </c>
      <c r="G16" s="38">
        <f>D16*A2</f>
        <v/>
      </c>
      <c r="H16" s="38">
        <f>E16*A2</f>
        <v/>
      </c>
      <c r="I16" s="39" t="n"/>
    </row>
    <row r="17" ht="27.75" customHeight="1" s="49">
      <c r="A17" s="14" t="inlineStr">
        <is>
          <t>Display / Remarketing</t>
        </is>
      </c>
      <c r="B17" s="40" t="inlineStr">
        <is>
          <t>2 banner responsive display in diversi formati</t>
        </is>
      </c>
      <c r="C17" s="31" t="n">
        <v>12</v>
      </c>
      <c r="D17" s="31" t="n">
        <v>16</v>
      </c>
      <c r="E17" s="17">
        <f>(C17+D17)/2</f>
        <v/>
      </c>
      <c r="F17" s="32">
        <f>C17*A2</f>
        <v/>
      </c>
      <c r="G17" s="32">
        <f>D17*A2</f>
        <v/>
      </c>
      <c r="H17" s="32">
        <f>E17*A2</f>
        <v/>
      </c>
      <c r="I17" s="33" t="n"/>
    </row>
    <row r="18" ht="27.75" customHeight="1" s="49">
      <c r="A18" s="5" t="inlineStr">
        <is>
          <t>LANDING PAGE</t>
        </is>
      </c>
      <c r="B18" s="23" t="n"/>
      <c r="C18" s="23" t="n"/>
      <c r="D18" s="23" t="n"/>
      <c r="E18" s="23" t="n"/>
      <c r="F18" s="23" t="n"/>
      <c r="G18" s="23" t="n"/>
      <c r="H18" s="23" t="n"/>
      <c r="I18" s="24" t="n"/>
    </row>
    <row r="19" ht="15.75" customHeight="1" s="49">
      <c r="A19" s="25" t="inlineStr">
        <is>
          <t>Attività</t>
        </is>
      </c>
      <c r="B19" s="25" t="inlineStr">
        <is>
          <t>Dettaglio</t>
        </is>
      </c>
      <c r="C19" s="25" t="inlineStr">
        <is>
          <t>Ore Min</t>
        </is>
      </c>
      <c r="D19" s="25" t="inlineStr">
        <is>
          <t>Ore Max</t>
        </is>
      </c>
      <c r="E19" s="25" t="inlineStr">
        <is>
          <t>Ore Media</t>
        </is>
      </c>
      <c r="F19" s="7" t="inlineStr">
        <is>
          <t xml:space="preserve">Investimento Stimato MIn </t>
        </is>
      </c>
      <c r="G19" s="7" t="inlineStr">
        <is>
          <t xml:space="preserve">Investimento Stimato Max </t>
        </is>
      </c>
      <c r="H19" s="7" t="inlineStr">
        <is>
          <t xml:space="preserve">Investimento Stimato Med </t>
        </is>
      </c>
      <c r="I19" s="25" t="inlineStr">
        <is>
          <t>Note</t>
        </is>
      </c>
    </row>
    <row r="20" ht="27.75" customHeight="1" s="49">
      <c r="A20" s="8" t="inlineStr">
        <is>
          <t>LP dedicata</t>
        </is>
      </c>
      <c r="B20" s="43" t="inlineStr">
        <is>
          <t>Pagina focus evento</t>
        </is>
      </c>
      <c r="C20" s="44" t="n">
        <v>24</v>
      </c>
      <c r="D20" s="44" t="n">
        <v>30</v>
      </c>
      <c r="E20" s="11">
        <f>(C20+D20)/2</f>
        <v/>
      </c>
      <c r="F20" s="29">
        <f>C20*A2</f>
        <v/>
      </c>
      <c r="G20" s="38">
        <f>D20*A2</f>
        <v/>
      </c>
      <c r="H20" s="38">
        <f>E20*A2</f>
        <v/>
      </c>
      <c r="I20" s="39" t="n"/>
    </row>
    <row r="21" ht="27.75" customHeight="1" s="49">
      <c r="A21" s="14" t="inlineStr">
        <is>
          <t>Versione mobile</t>
        </is>
      </c>
      <c r="B21" s="40" t="inlineStr">
        <is>
          <t>Ottimizzazione responsive</t>
        </is>
      </c>
      <c r="C21" s="31" t="n">
        <v>2</v>
      </c>
      <c r="D21" s="31" t="n">
        <v>4</v>
      </c>
      <c r="E21" s="17">
        <f>(C21+D21)/2</f>
        <v/>
      </c>
      <c r="F21" s="32">
        <f>C21*A2</f>
        <v/>
      </c>
      <c r="G21" s="32">
        <f>D21*A2</f>
        <v/>
      </c>
      <c r="H21" s="32">
        <f>E21*A2</f>
        <v/>
      </c>
      <c r="I21" s="33" t="n"/>
    </row>
    <row r="22" ht="27.75" customHeight="1" s="49">
      <c r="A22" s="20" t="inlineStr">
        <is>
          <t>Integrazione form</t>
        </is>
      </c>
      <c r="B22" s="41" t="inlineStr">
        <is>
          <t>CRM o WhatsApp Business</t>
        </is>
      </c>
      <c r="C22" s="21" t="n">
        <v>2</v>
      </c>
      <c r="D22" s="21" t="n">
        <v>4</v>
      </c>
      <c r="E22" s="11">
        <f>(C22+D22)/2</f>
        <v/>
      </c>
      <c r="F22" s="29">
        <f>C22*A2</f>
        <v/>
      </c>
      <c r="G22" s="38">
        <f>D22*A2</f>
        <v/>
      </c>
      <c r="H22" s="38">
        <f>E22*A2</f>
        <v/>
      </c>
      <c r="I22" s="42" t="n"/>
    </row>
    <row r="23" ht="27.75" customHeight="1" s="49">
      <c r="A23" s="5" t="inlineStr">
        <is>
          <t>SETUP TECNICO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</row>
    <row r="24" ht="15.75" customHeight="1" s="49">
      <c r="A24" s="25" t="inlineStr">
        <is>
          <t>Attività</t>
        </is>
      </c>
      <c r="B24" s="25" t="inlineStr">
        <is>
          <t>Dettaglio</t>
        </is>
      </c>
      <c r="C24" s="25" t="inlineStr">
        <is>
          <t>Ore Min</t>
        </is>
      </c>
      <c r="D24" s="25" t="inlineStr">
        <is>
          <t>Ore Max</t>
        </is>
      </c>
      <c r="E24" s="25" t="inlineStr">
        <is>
          <t>Ore Media</t>
        </is>
      </c>
      <c r="F24" s="7" t="inlineStr">
        <is>
          <t xml:space="preserve">Investimento Stimato MIn </t>
        </is>
      </c>
      <c r="G24" s="7" t="inlineStr">
        <is>
          <t xml:space="preserve">Investimento Stimato Max </t>
        </is>
      </c>
      <c r="H24" s="7" t="inlineStr">
        <is>
          <t xml:space="preserve">Investimento Stimato Med </t>
        </is>
      </c>
      <c r="I24" s="25" t="inlineStr">
        <is>
          <t>Note</t>
        </is>
      </c>
    </row>
    <row r="25" ht="27.75" customHeight="1" s="49">
      <c r="A25" s="8" t="inlineStr">
        <is>
          <t>Pixel Meta</t>
        </is>
      </c>
      <c r="B25" s="43" t="inlineStr">
        <is>
          <t>Installazione e verifica</t>
        </is>
      </c>
      <c r="C25" s="44" t="n">
        <v>2</v>
      </c>
      <c r="D25" s="44" t="n">
        <v>2</v>
      </c>
      <c r="E25" s="11">
        <f>(C25+D25)/2</f>
        <v/>
      </c>
      <c r="F25" s="29">
        <f>C25*A2</f>
        <v/>
      </c>
      <c r="G25" s="38">
        <f>D25*A2</f>
        <v/>
      </c>
      <c r="H25" s="38">
        <f>E25*A2</f>
        <v/>
      </c>
      <c r="I25" s="39" t="n"/>
    </row>
    <row r="26" ht="27.75" customHeight="1" s="49">
      <c r="A26" s="14" t="inlineStr">
        <is>
          <t>Google Tag Manager</t>
        </is>
      </c>
      <c r="B26" s="40" t="inlineStr">
        <is>
          <t>Configurazione conversioni</t>
        </is>
      </c>
      <c r="C26" s="31" t="n">
        <v>2</v>
      </c>
      <c r="D26" s="31" t="n">
        <v>2</v>
      </c>
      <c r="E26" s="17">
        <f>(C26+D26)/2</f>
        <v/>
      </c>
      <c r="F26" s="32">
        <f>C26*A2</f>
        <v/>
      </c>
      <c r="G26" s="32">
        <f>D26*A2</f>
        <v/>
      </c>
      <c r="H26" s="32">
        <f>E26*A2</f>
        <v/>
      </c>
      <c r="I26" s="33" t="n"/>
    </row>
    <row r="27" ht="27.75" customHeight="1" s="49">
      <c r="A27" s="8" t="inlineStr">
        <is>
          <t>UTM tracking</t>
        </is>
      </c>
      <c r="B27" s="43" t="inlineStr">
        <is>
          <t>Setup UTM su tutti gli URL</t>
        </is>
      </c>
      <c r="C27" s="44" t="n">
        <v>1</v>
      </c>
      <c r="D27" s="44" t="n">
        <v>1</v>
      </c>
      <c r="E27" s="11">
        <f>(C27+D27)/2</f>
        <v/>
      </c>
      <c r="F27" s="29">
        <f>C27*50</f>
        <v/>
      </c>
      <c r="G27" s="38">
        <f>D27*50</f>
        <v/>
      </c>
      <c r="H27" s="38">
        <f>E27*A2</f>
        <v/>
      </c>
      <c r="I27" s="39" t="n"/>
    </row>
    <row r="28" ht="27.75" customHeight="1" s="49">
      <c r="A28" s="14" t="inlineStr">
        <is>
          <t>Pubblici custom</t>
        </is>
      </c>
      <c r="B28" s="40" t="inlineStr">
        <is>
          <t>Personalizzati + Lookalike su Meta</t>
        </is>
      </c>
      <c r="C28" s="31" t="n">
        <v>2</v>
      </c>
      <c r="D28" s="31" t="n">
        <v>2</v>
      </c>
      <c r="E28" s="17">
        <f>(C28+D28)/2</f>
        <v/>
      </c>
      <c r="F28" s="32">
        <f>C28*A2</f>
        <v/>
      </c>
      <c r="G28" s="32">
        <f>D28*A2</f>
        <v/>
      </c>
      <c r="H28" s="32">
        <f>E28*A2</f>
        <v/>
      </c>
      <c r="I28" s="33" t="n"/>
    </row>
    <row r="29" ht="15.75" customHeight="1" s="49"/>
    <row r="30" ht="30" customHeight="1" s="49">
      <c r="A30" s="45" t="inlineStr">
        <is>
          <t>SUBTOTALE ONE-TIME</t>
        </is>
      </c>
      <c r="B30" s="46" t="n"/>
      <c r="C30" s="47">
        <f>SUM(C5,C6,C7,C10,C11,C12,C13,C31,C16,C17,C20,C21,C22,C25,C26,C27,C28)</f>
        <v/>
      </c>
      <c r="D30" s="47">
        <f>SUM(D5,D6,D7,D10,D11,D12,D13,D31,D16,D17,D20,D21,D22,D25,D26,D27,D28)</f>
        <v/>
      </c>
      <c r="E30" s="47">
        <f>SUM(E5,E6,E7,E10,E11,E12,E13,E31,E16,E17,E20,E21,E22,E25,E26,E27,E28)</f>
        <v/>
      </c>
      <c r="F30" s="48">
        <f>SUM(F5,F6,F7,F10,F11,F12,F13,F16,F17,F20,F21,F22,F25,F26,F27,F28)</f>
        <v/>
      </c>
      <c r="G30" s="48">
        <f>SUM(G5,G6,G7,G10,G11,G12,G13,G16,G17,G20,G21,G22,G25,G26,G27,G28)</f>
        <v/>
      </c>
      <c r="H30" s="48">
        <f>SUM(H5,H6,H7,H10,H11,H12,H13,H16,H17,H20,H21,H22,H25,H26,H27,H28)</f>
        <v/>
      </c>
      <c r="I30" s="46" t="n"/>
    </row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</sheetData>
  <mergeCells count="2">
    <mergeCell ref="A1:I1"/>
    <mergeCell ref="A3:I3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2026-03-31T13:53:18Z</dcterms:created>
  <dcterms:modified xmlns:dcterms="http://purl.org/dc/terms/" xmlns:xsi="http://www.w3.org/2001/XMLSchema-instance" xsi:type="dcterms:W3CDTF">2026-03-31T13:53:18Z</dcterms:modified>
</cp:coreProperties>
</file>